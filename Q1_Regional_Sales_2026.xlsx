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 Regional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<sst xmlns="http://schemas.openxmlformats.org/spreadsheetml/2006/main" count="19" uniqueCount="19">
  <si>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Q1 2026 — Regional Sales Summary</t>
  </si>
  <si>
    <t xml:space="preserve">Prepared by: Commercial Analytics  |  Date: 04 Apr 2026</t>
  </si>
  <si>
    <t xml:space="preserve">Region</t>
  </si>
  <si>
    <t xml:space="preserve">Jan (£)</t>
  </si>
  <si>
    <t xml:space="preserve">Feb (£)</t>
  </si>
  <si>
    <t xml:space="preserve">Mar (£)</t>
  </si>
  <si>
    <t xml:space="preserve">Q1 Total (£)</t>
  </si>
  <si>
    <t xml:space="preserve">Target (£)</t>
  </si>
  <si>
    <t xml:space="preserve">% of Target</t>
  </si>
  <si>
    <t xml:space="preserve">London &amp; South East</t>
  </si>
  <si>
    <t xml:space="preserve">South West</t>
  </si>
  <si>
    <t xml:space="preserve">Midlands</t>
  </si>
  <si>
    <t xml:space="preserve">North West</t>
  </si>
  <si>
    <t xml:space="preserve">North East &amp; Yorkshire</t>
  </si>
  <si>
    <t xml:space="preserve">Scotland</t>
  </si>
  <si>
    <t xml:space="preserve">Wales</t>
  </si>
  <si>
    <t xml:space="preserve">East of England</t>
  </si>
  <si>
    <t xml:space="preserve">Northern Ireland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</si>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</sst>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B1F3A"/>
      </bottom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 style="medium">
        <color rgb="FF0B1F3A"/>
      </top>
      <bottom style="double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391800</v>
      </c>
      <c r="C5" s="5" t="n">
        <v>389624</v>
      </c>
      <c r="D5" s="5" t="n">
        <v>304897</v>
      </c>
      <c r="E5" s="6" t="n">
        <f aca="false">SUM(B5:D5)</f>
        <v>1086321</v>
      </c>
      <c r="F5" s="5" t="n">
        <v>1140000</v>
      </c>
      <c r="G5" s="7" t="n">
        <f aca="false">E5/F5</f>
        <v>0.952913157894737</v>
      </c>
    </row>
    <row r="6" customFormat="false" ht="15" hidden="false" customHeight="false" outlineLevel="0" collapsed="false">
      <c r="A6" s="4" t="s">
        <v>10</v>
      </c>
      <c r="B6" s="5" t="n">
        <v>300723</v>
      </c>
      <c r="C6" s="5" t="n">
        <v>320249</v>
      </c>
      <c r="D6" s="5" t="n">
        <v>269858</v>
      </c>
      <c r="E6" s="6" t="n">
        <f aca="false">SUM(B6:D6)</f>
        <v>890830</v>
      </c>
      <c r="F6" s="5" t="n">
        <v>971000</v>
      </c>
      <c r="G6" s="7" t="n">
        <f aca="false">E6/F6</f>
        <v>0.917435633367662</v>
      </c>
    </row>
    <row r="7" customFormat="false" ht="15" hidden="false" customHeight="false" outlineLevel="0" collapsed="false">
      <c r="A7" s="4" t="s">
        <v>11</v>
      </c>
      <c r="B7" s="5" t="n">
        <v>311675</v>
      </c>
      <c r="C7" s="5" t="n">
        <v>572222</v>
      </c>
      <c r="D7" s="5" t="n">
        <v>400837</v>
      </c>
      <c r="E7" s="6" t="n">
        <f aca="false">SUM(B7:D7)</f>
        <v>1284734</v>
      </c>
      <c r="F7" s="5" t="n">
        <v>1327000</v>
      </c>
      <c r="G7" s="7" t="n">
        <f aca="false">E7/F7</f>
        <v>0.968149208741522</v>
      </c>
    </row>
    <row r="8" customFormat="false" ht="15" hidden="false" customHeight="false" outlineLevel="0" collapsed="false">
      <c r="A8" s="4" t="s">
        <v>12</v>
      </c>
      <c r="B8" s="5" t="n">
        <v>547257</v>
      </c>
      <c r="C8" s="5" t="n">
        <v>472396</v>
      </c>
      <c r="D8" s="5" t="n">
        <v>247100</v>
      </c>
      <c r="E8" s="6" t="n">
        <f aca="false">SUM(B8:D8)</f>
        <v>1266753</v>
      </c>
      <c r="F8" s="5" t="n">
        <v>1437000</v>
      </c>
      <c r="G8" s="7" t="n">
        <f aca="false">E8/F8</f>
        <v>0.881526096033403</v>
      </c>
    </row>
    <row r="9" customFormat="false" ht="15" hidden="false" customHeight="false" outlineLevel="0" collapsed="false">
      <c r="A9" s="4" t="s">
        <v>13</v>
      </c>
      <c r="B9" s="5" t="n">
        <v>436520</v>
      </c>
      <c r="C9" s="5" t="n">
        <v>294578</v>
      </c>
      <c r="D9" s="5" t="n">
        <v>421060</v>
      </c>
      <c r="E9" s="6" t="n">
        <f aca="false">SUM(B9:D9)</f>
        <v>1152158</v>
      </c>
      <c r="F9" s="5" t="n">
        <v>1245000</v>
      </c>
      <c r="G9" s="7" t="n">
        <f aca="false">E9/F9</f>
        <v>0.925428112449799</v>
      </c>
    </row>
    <row r="10" customFormat="false" ht="15" hidden="false" customHeight="false" outlineLevel="0" collapsed="false">
      <c r="A10" s="4" t="s">
        <v>14</v>
      </c>
      <c r="B10" s="5" t="n">
        <v>488494</v>
      </c>
      <c r="C10" s="5" t="n">
        <v>303609</v>
      </c>
      <c r="D10" s="5" t="n">
        <v>615558</v>
      </c>
      <c r="E10" s="6" t="n">
        <f aca="false">SUM(B10:D10)</f>
        <v>1407661</v>
      </c>
      <c r="F10" s="5" t="n">
        <v>1584000</v>
      </c>
      <c r="G10" s="7" t="n">
        <f aca="false">E10/F10</f>
        <v>0.888674873737374</v>
      </c>
    </row>
    <row r="11" customFormat="false" ht="15" hidden="false" customHeight="false" outlineLevel="0" collapsed="false">
      <c r="A11" s="4" t="s">
        <v>15</v>
      </c>
      <c r="B11" s="5" t="n">
        <v>376073</v>
      </c>
      <c r="C11" s="5" t="n">
        <v>621135</v>
      </c>
      <c r="D11" s="5" t="n">
        <v>403482</v>
      </c>
      <c r="E11" s="6" t="n">
        <f aca="false">SUM(B11:D11)</f>
        <v>1400690</v>
      </c>
      <c r="F11" s="5" t="n">
        <v>1562000</v>
      </c>
      <c r="G11" s="7" t="n">
        <f aca="false">E11/F11</f>
        <v>0.896728553137004</v>
      </c>
    </row>
    <row r="12" customFormat="false" ht="15" hidden="false" customHeight="false" outlineLevel="0" collapsed="false">
      <c r="A12" s="4" t="s">
        <v>16</v>
      </c>
      <c r="B12" s="5" t="n">
        <v>291458</v>
      </c>
      <c r="C12" s="5" t="n">
        <v>269836</v>
      </c>
      <c r="D12" s="5" t="n">
        <v>441950</v>
      </c>
      <c r="E12" s="6" t="n">
        <f aca="false">SUM(B12:D12)</f>
        <v>1003244</v>
      </c>
      <c r="F12" s="5" t="n">
        <v>1069000</v>
      </c>
      <c r="G12" s="7" t="n">
        <f aca="false">E12/F12</f>
        <v>0.938488306828812</v>
      </c>
    </row>
    <row r="13" customFormat="false" ht="15" hidden="false" customHeight="false" outlineLevel="0" collapsed="false">
      <c r="A13" s="4" t="s">
        <v>17</v>
      </c>
      <c r="B13" s="5" t="n">
        <v>477226</v>
      </c>
      <c r="C13" s="5" t="n">
        <v>367632</v>
      </c>
      <c r="D13" s="5" t="n">
        <v>243497</v>
      </c>
      <c r="E13" s="6" t="n">
        <f aca="false">SUM(B13:D13)</f>
        <v>1088355</v>
      </c>
      <c r="F13" s="5" t="n">
        <v>1237000</v>
      </c>
      <c r="G13" s="7" t="n">
        <f aca="false">E13/F13</f>
        <v>0.879834276475344</v>
      </c>
    </row>
    <row r="14" customFormat="false" ht="15" hidden="false" customHeight="false" outlineLevel="0" collapsed="false">
      <c r="A14" s="8" t="s">
        <v>18</v>
      </c>
      <c r="B14" s="9" t="n">
        <f aca="false">SUM(B5:B13)</f>
        <v>3621226</v>
      </c>
      <c r="C14" s="9" t="n">
        <f aca="false">SUM(C5:C13)</f>
        <v>3611281</v>
      </c>
      <c r="D14" s="9" t="n">
        <f aca="false">SUM(D5:D13)</f>
        <v>3348239</v>
      </c>
      <c r="E14" s="9" t="n">
        <f aca="false">SUM(E5:E13)</f>
        <v>10580746</v>
      </c>
      <c r="F14" s="9" t="n">
        <f aca="false">SUM(F5:F13)</f>
        <v>11572000</v>
      </c>
      <c r="G14" s="10" t="n">
        <f aca="false">E14/F14</f>
        <v>0.91434030418251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2026-04-01T16:18:37Z</dcterms:created>
  <dc:creator>openpyxl</dc:creator>
  <dc:description/>
  <dc:language>en-US</dc:language>
  <cp:lastModifiedBy/>
  <dcterms:modified xsi:type="dcterms:W3CDTF">2026-04-01T16:18:37Z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