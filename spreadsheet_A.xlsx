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<sst xmlns="http://schemas.openxmlformats.org/spreadsheetml/2006/main" count="30" uniqueCount="22">
  <si>
    <t xml:space="preserve">FY2025/26 — Departmental Budget Tracker</t>
  </si>
  <si>
    <t xml:space="preserve">Prepared by: Finance Business Partners  |  Date: 01 Apr 2026</t>
  </si>
  <si>
    <t xml:space="preserve">Department</t>
  </si>
  <si>
    <t xml:space="preserve">Budget (£)</t>
  </si>
  <si>
    <t xml:space="preserve">Actual (£)</t>
  </si>
  <si>
    <t xml:space="preserve">Variance (£)</t>
  </si>
  <si>
    <t xml:space="preserve">Var %</t>
  </si>
  <si>
    <t xml:space="preserve">Forecast (£)</t>
  </si>
  <si>
    <t xml:space="preserve">Status</t>
  </si>
  <si>
    <t xml:space="preserve">Engineering</t>
  </si>
  <si>
    <t xml:space="preserve">Under</t>
  </si>
  <si>
    <t xml:space="preserve">Marketing</t>
  </si>
  <si>
    <t xml:space="preserve">Over</t>
  </si>
  <si>
    <t xml:space="preserve">Sales</t>
  </si>
  <si>
    <t xml:space="preserve">Human Resources</t>
  </si>
  <si>
    <t xml:space="preserve">Operations</t>
  </si>
  <si>
    <t xml:space="preserve">IT &amp; Digital</t>
  </si>
  <si>
    <t xml:space="preserve">Legal &amp; Compliance</t>
  </si>
  <si>
    <t xml:space="preserve">Customer Service</t>
  </si>
  <si>
    <t xml:space="preserve">R&amp;D</t>
  </si>
  <si>
    <t xml:space="preserve">Facilities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</si>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</sst>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"/>
    <numFmt numFmtId="166" formatCode="\£#,##0;&quot;(£&quot;#,##0\)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1E8449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D5F5E3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A5276"/>
      </bottom>
      <diagonal/>
    </border>
    <border diagonalUp="false" diagonalDown="false">
      <left/>
      <right/>
      <top/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5276"/>
      <rgbColor rgb="FF1E8449"/>
      <rgbColor rgb="FF003300"/>
      <rgbColor rgb="FF333300"/>
      <rgbColor rgb="FFC0392B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420000</v>
      </c>
      <c r="C5" s="5" t="n">
        <v>398500</v>
      </c>
      <c r="D5" s="6" t="n">
        <f aca="false">C5-B5</f>
        <v>-21500</v>
      </c>
      <c r="E5" s="7" t="n">
        <f aca="false">D5/B5</f>
        <v>-0.0511904761904762</v>
      </c>
      <c r="F5" s="5" t="n">
        <v>405819</v>
      </c>
      <c r="G5" s="8" t="s">
        <v>10</v>
      </c>
    </row>
    <row r="6" customFormat="false" ht="15" hidden="false" customHeight="false" outlineLevel="0" collapsed="false">
      <c r="A6" s="4" t="s">
        <v>11</v>
      </c>
      <c r="B6" s="5" t="n">
        <v>285000</v>
      </c>
      <c r="C6" s="5" t="n">
        <v>312400</v>
      </c>
      <c r="D6" s="6" t="n">
        <f aca="false">C6-B6</f>
        <v>27400</v>
      </c>
      <c r="E6" s="7" t="n">
        <f aca="false">D6/B6</f>
        <v>0.096140350877193</v>
      </c>
      <c r="F6" s="5" t="n">
        <v>306621</v>
      </c>
      <c r="G6" s="9" t="s">
        <v>12</v>
      </c>
    </row>
    <row r="7" customFormat="false" ht="15" hidden="false" customHeight="false" outlineLevel="0" collapsed="false">
      <c r="A7" s="4" t="s">
        <v>13</v>
      </c>
      <c r="B7" s="5" t="n">
        <v>350000</v>
      </c>
      <c r="C7" s="5" t="n">
        <v>341200</v>
      </c>
      <c r="D7" s="6" t="n">
        <f aca="false">C7-B7</f>
        <v>-8800</v>
      </c>
      <c r="E7" s="7" t="n">
        <f aca="false">D7/B7</f>
        <v>-0.0251428571428571</v>
      </c>
      <c r="F7" s="5" t="n">
        <v>340006</v>
      </c>
      <c r="G7" s="8" t="s">
        <v>10</v>
      </c>
    </row>
    <row r="8" customFormat="false" ht="15" hidden="false" customHeight="false" outlineLevel="0" collapsed="false">
      <c r="A8" s="4" t="s">
        <v>14</v>
      </c>
      <c r="B8" s="5" t="n">
        <v>180000</v>
      </c>
      <c r="C8" s="5" t="n">
        <v>175800</v>
      </c>
      <c r="D8" s="6" t="n">
        <f aca="false">C8-B8</f>
        <v>-4200</v>
      </c>
      <c r="E8" s="7" t="n">
        <f aca="false">D8/B8</f>
        <v>-0.0233333333333333</v>
      </c>
      <c r="F8" s="5" t="n">
        <v>174638</v>
      </c>
      <c r="G8" s="8" t="s">
        <v>10</v>
      </c>
    </row>
    <row r="9" customFormat="false" ht="15" hidden="false" customHeight="false" outlineLevel="0" collapsed="false">
      <c r="A9" s="4" t="s">
        <v>15</v>
      </c>
      <c r="B9" s="5" t="n">
        <v>510000</v>
      </c>
      <c r="C9" s="5" t="n">
        <v>487300</v>
      </c>
      <c r="D9" s="6" t="n">
        <f aca="false">C9-B9</f>
        <v>-22700</v>
      </c>
      <c r="E9" s="7" t="n">
        <f aca="false">D9/B9</f>
        <v>-0.0445098039215686</v>
      </c>
      <c r="F9" s="5" t="n">
        <v>499087</v>
      </c>
      <c r="G9" s="8" t="s">
        <v>10</v>
      </c>
    </row>
    <row r="10" customFormat="false" ht="15" hidden="false" customHeight="false" outlineLevel="0" collapsed="false">
      <c r="A10" s="4" t="s">
        <v>16</v>
      </c>
      <c r="B10" s="5" t="n">
        <v>390000</v>
      </c>
      <c r="C10" s="5" t="n">
        <v>421000</v>
      </c>
      <c r="D10" s="6" t="n">
        <f aca="false">C10-B10</f>
        <v>31000</v>
      </c>
      <c r="E10" s="7" t="n">
        <f aca="false">D10/B10</f>
        <v>0.0794871794871795</v>
      </c>
      <c r="F10" s="5" t="n">
        <v>429673</v>
      </c>
      <c r="G10" s="9" t="s">
        <v>12</v>
      </c>
    </row>
    <row r="11" customFormat="false" ht="15" hidden="false" customHeight="false" outlineLevel="0" collapsed="false">
      <c r="A11" s="4" t="s">
        <v>17</v>
      </c>
      <c r="B11" s="5" t="n">
        <v>145000</v>
      </c>
      <c r="C11" s="5" t="n">
        <v>139200</v>
      </c>
      <c r="D11" s="6" t="n">
        <f aca="false">C11-B11</f>
        <v>-5800</v>
      </c>
      <c r="E11" s="7" t="n">
        <f aca="false">D11/B11</f>
        <v>-0.04</v>
      </c>
      <c r="F11" s="5" t="n">
        <v>143867</v>
      </c>
      <c r="G11" s="8" t="s">
        <v>10</v>
      </c>
    </row>
    <row r="12" customFormat="false" ht="15" hidden="false" customHeight="false" outlineLevel="0" collapsed="false">
      <c r="A12" s="4" t="s">
        <v>18</v>
      </c>
      <c r="B12" s="5" t="n">
        <v>220000</v>
      </c>
      <c r="C12" s="5" t="n">
        <v>228700</v>
      </c>
      <c r="D12" s="6" t="n">
        <f aca="false">C12-B12</f>
        <v>8700</v>
      </c>
      <c r="E12" s="7" t="n">
        <f aca="false">D12/B12</f>
        <v>0.0395454545454545</v>
      </c>
      <c r="F12" s="5" t="n">
        <v>225319</v>
      </c>
      <c r="G12" s="9" t="s">
        <v>12</v>
      </c>
    </row>
    <row r="13" customFormat="false" ht="15" hidden="false" customHeight="false" outlineLevel="0" collapsed="false">
      <c r="A13" s="4" t="s">
        <v>19</v>
      </c>
      <c r="B13" s="5" t="n">
        <v>480000</v>
      </c>
      <c r="C13" s="5" t="n">
        <v>465100</v>
      </c>
      <c r="D13" s="6" t="n">
        <f aca="false">C13-B13</f>
        <v>-14900</v>
      </c>
      <c r="E13" s="7" t="n">
        <f aca="false">D13/B13</f>
        <v>-0.0310416666666667</v>
      </c>
      <c r="F13" s="5" t="n">
        <v>467572</v>
      </c>
      <c r="G13" s="8" t="s">
        <v>10</v>
      </c>
    </row>
    <row r="14" customFormat="false" ht="15" hidden="false" customHeight="false" outlineLevel="0" collapsed="false">
      <c r="A14" s="4" t="s">
        <v>20</v>
      </c>
      <c r="B14" s="5" t="n">
        <v>95000</v>
      </c>
      <c r="C14" s="5" t="n">
        <v>102300</v>
      </c>
      <c r="D14" s="6" t="n">
        <f aca="false">C14-B14</f>
        <v>7300</v>
      </c>
      <c r="E14" s="7" t="n">
        <f aca="false">D14/B14</f>
        <v>0.0768421052631579</v>
      </c>
      <c r="F14" s="5" t="n">
        <v>100437</v>
      </c>
      <c r="G14" s="9" t="s">
        <v>12</v>
      </c>
    </row>
    <row r="15" customFormat="false" ht="15" hidden="false" customHeight="false" outlineLevel="0" collapsed="false">
      <c r="A15" s="10" t="s">
        <v>21</v>
      </c>
      <c r="B15" s="11" t="n">
        <f aca="false">SUM(B5:B14)</f>
        <v>3075000</v>
      </c>
      <c r="C15" s="11" t="n">
        <f aca="false">SUM(C5:C14)</f>
        <v>3071500</v>
      </c>
      <c r="D15" s="12" t="n">
        <f aca="false">C15-B15</f>
        <v>-3500</v>
      </c>
      <c r="E15" s="13" t="n">
        <f aca="false">D15/B15</f>
        <v>-0.00113821138211382</v>
      </c>
      <c r="F15" s="11" t="n">
        <f aca="false">SUM(F5:F14)</f>
        <v>3093039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2026-04-01T16:33:58Z</dcterms:created>
  <dc:creator>openpyxl</dc:creator>
  <dc:description/>
  <dc:language>en-US</dc:language>
  <cp:lastModifiedBy/>
  <dcterms:modified xsi:type="dcterms:W3CDTF">2026-04-01T16:33:58Z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